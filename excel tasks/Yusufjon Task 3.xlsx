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F95F1F-3851-4597-A8F5-5E4EBF5DFE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D3" i="1"/>
  <c r="D4" i="1"/>
  <c r="D5" i="1"/>
  <c r="D6" i="1"/>
  <c r="D7" i="1"/>
  <c r="D8" i="1"/>
  <c r="D2" i="1"/>
  <c r="J3" i="1"/>
  <c r="J2" i="1"/>
  <c r="H17" i="1" l="1"/>
  <c r="H18" i="1"/>
  <c r="H19" i="1"/>
  <c r="H20" i="1"/>
  <c r="H21" i="1"/>
  <c r="H22" i="1"/>
  <c r="H16" i="1"/>
  <c r="G17" i="1"/>
  <c r="G18" i="1"/>
  <c r="G19" i="1"/>
  <c r="G20" i="1"/>
  <c r="G21" i="1"/>
  <c r="G22" i="1"/>
  <c r="G16" i="1"/>
  <c r="F17" i="1"/>
  <c r="F18" i="1"/>
  <c r="F19" i="1"/>
  <c r="F20" i="1"/>
  <c r="F21" i="1"/>
  <c r="F22" i="1"/>
  <c r="F16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H14" i="1"/>
  <c r="H13" i="1"/>
  <c r="H12" i="1"/>
  <c r="H11" i="1" l="1"/>
</calcChain>
</file>

<file path=xl/sharedStrings.xml><?xml version="1.0" encoding="utf-8"?>
<sst xmlns="http://schemas.openxmlformats.org/spreadsheetml/2006/main" count="38" uniqueCount="38">
  <si>
    <t>ТХ001</t>
  </si>
  <si>
    <t>ТХ002</t>
  </si>
  <si>
    <t>ТХ003</t>
  </si>
  <si>
    <t>ТХ004</t>
  </si>
  <si>
    <t>ТХ005</t>
  </si>
  <si>
    <t>ТХ006</t>
  </si>
  <si>
    <t>ТХ007</t>
  </si>
  <si>
    <t>Ismi</t>
  </si>
  <si>
    <t>Familiya</t>
  </si>
  <si>
    <t>Tulov summasi</t>
  </si>
  <si>
    <t>Status</t>
  </si>
  <si>
    <t>Tranzaksiya ID</t>
  </si>
  <si>
    <t>Ism va Familiya</t>
  </si>
  <si>
    <t>Katta harflarda ism</t>
  </si>
  <si>
    <t>Familiya kichik harflarda</t>
  </si>
  <si>
    <t>Tranzaksiya uzunligi</t>
  </si>
  <si>
    <t>Boshidan 2 ta harf</t>
  </si>
  <si>
    <t>Oxiridan 3 ta harf</t>
  </si>
  <si>
    <t>Dilshod</t>
  </si>
  <si>
    <t>Karimov</t>
  </si>
  <si>
    <t>Nargiza</t>
  </si>
  <si>
    <t>Gulova</t>
  </si>
  <si>
    <t>Mirabbos</t>
  </si>
  <si>
    <t>Mirzakirov</t>
  </si>
  <si>
    <t>Yusufjon</t>
  </si>
  <si>
    <t>Tolibjonov</t>
  </si>
  <si>
    <t>Shahzodbek</t>
  </si>
  <si>
    <t>Durdiyev</t>
  </si>
  <si>
    <t>Xondamir</t>
  </si>
  <si>
    <t>Murtazoyev</t>
  </si>
  <si>
    <t>Nematullo</t>
  </si>
  <si>
    <t>Mahmudov</t>
  </si>
  <si>
    <t>Ortachasi</t>
  </si>
  <si>
    <t>Eng kattasi</t>
  </si>
  <si>
    <t>Eng kichigi</t>
  </si>
  <si>
    <t>Umumiy</t>
  </si>
  <si>
    <t>Oddiy Mijoz</t>
  </si>
  <si>
    <t>Premium mijoz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</si>
</sst>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2" borderId="13" xfId="0" applyFont="1" applyFill="1" applyBorder="1"/>
    <xf numFmtId="0" fontId="2" fillId="2" borderId="1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12" xfId="0" applyBorder="1"/>
    <xf numFmtId="164" fontId="0" fillId="0" borderId="12" xfId="0" applyNumberFormat="1" applyBorder="1"/>
    <xf numFmtId="164" fontId="0" fillId="0" borderId="16" xfId="0" applyNumberFormat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64" fontId="0" fillId="0" borderId="0" xfId="0" applyNumberFormat="1"/>
    <xf numFmtId="0" fontId="2" fillId="2" borderId="17" xfId="0" applyFont="1" applyFill="1" applyBorder="1"/>
    <xf numFmtId="0" fontId="0" fillId="0" borderId="18" xfId="0" applyBorder="1"/>
    <xf numFmtId="0" fontId="0" fillId="0" borderId="19" xfId="0" applyBorder="1"/>
    <xf numFmtId="0" fontId="0" fillId="0" borderId="5" xfId="0" applyBorder="1" applyAlignment="1">
      <alignment horizontal="center" vertical="center"/>
    </xf>
    <xf numFmtId="0" fontId="1" fillId="2" borderId="3" xfId="0" applyFont="1" applyFill="1" applyBorder="1"/>
    <xf numFmtId="0" fontId="1" fillId="2" borderId="20" xfId="0" applyFont="1" applyFill="1" applyBorder="1"/>
    <xf numFmtId="0" fontId="1" fillId="2" borderId="4" xfId="0" applyFont="1" applyFill="1" applyBorder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Тулв суммаси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Лист1!$C$2:$C$8</c:f>
              <c:numCache>
                <c:formatCode>#\ ##0.00\ _₽</c:formatCode>
                <c:ptCount val="7"/>
                <c:pt idx="0">
                  <c:v>770000</c:v>
                </c:pt>
                <c:pt idx="1">
                  <c:v>1000000</c:v>
                </c:pt>
                <c:pt idx="2">
                  <c:v>400000</c:v>
                </c:pt>
                <c:pt idx="3">
                  <c:v>560000</c:v>
                </c:pt>
                <c:pt idx="4">
                  <c:v>400000</c:v>
                </c:pt>
                <c:pt idx="5">
                  <c:v>150000</c:v>
                </c:pt>
                <c:pt idx="6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C-4744-BC76-599AB986F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03767632"/>
        <c:axId val="1099014784"/>
        <c:axId val="0"/>
      </c:bar3DChart>
      <c:catAx>
        <c:axId val="110376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014784"/>
        <c:crosses val="autoZero"/>
        <c:auto val="1"/>
        <c:lblAlgn val="ctr"/>
        <c:lblOffset val="100"/>
        <c:noMultiLvlLbl val="0"/>
      </c:catAx>
      <c:valAx>
        <c:axId val="10990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\ ##0.0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376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FD5-406A-92F5-C677979858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FD5-406A-92F5-C67797985804}"/>
              </c:ext>
            </c:extLst>
          </c:dPt>
          <c:cat>
            <c:strRef>
              <c:f>Лист1!$I$2:$I$3</c:f>
              <c:strCache>
                <c:ptCount val="2"/>
                <c:pt idx="0">
                  <c:v>Oddiy Mijoz</c:v>
                </c:pt>
                <c:pt idx="1">
                  <c:v>Premium mijoz</c:v>
                </c:pt>
              </c:strCache>
            </c:strRef>
          </c:cat>
          <c:val>
            <c:numRef>
              <c:f>Лист1!$J$2:$J$3</c:f>
              <c:numCache>
                <c:formatCode>#,##0.00</c:formatCode>
                <c:ptCount val="2"/>
                <c:pt idx="0">
                  <c:v>1320000</c:v>
                </c:pt>
                <c:pt idx="1">
                  <c:v>2040000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4-4A3F-A867-80B10B57E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73428547955391"/>
          <c:y val="0.91865452827073402"/>
          <c:w val="0.39134636588877791"/>
          <c:h val="8.134547172926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</xdr:colOff>
      <xdr:row>9</xdr:row>
      <xdr:rowOff>172402</xdr:rowOff>
    </xdr:from>
    <xdr:to>
      <xdr:col>4</xdr:col>
      <xdr:colOff>413385</xdr:colOff>
      <xdr:row>24</xdr:row>
      <xdr:rowOff>65722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6D8382-DDDB-4D57-9B4F-FDCC5485E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</xdr:colOff>
      <xdr:row>24</xdr:row>
      <xdr:rowOff>159067</xdr:rowOff>
    </xdr:from>
    <xdr:to>
      <xdr:col>4</xdr:col>
      <xdr:colOff>382905</xdr:colOff>
      <xdr:row>39</xdr:row>
      <xdr:rowOff>50482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324E917-C704-4B1B-9443-7E76529EB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5" sqref="I5"/>
    </sheetView>
  </sheetViews>
  <sheetFormatPr defaultRowHeight="14.4" x14ac:dyDescent="0.3"/>
  <cols>
    <col min="1" max="1" width="12.6640625" bestFit="1" customWidth="1"/>
    <col min="2" max="2" width="12.109375" customWidth="1"/>
    <col min="3" max="3" width="17.88671875" customWidth="1"/>
    <col min="4" max="4" width="19.6640625" customWidth="1"/>
    <col min="5" max="5" width="14.6640625" customWidth="1"/>
    <col min="6" max="6" width="23.88671875" customWidth="1"/>
    <col min="7" max="7" width="23.44140625" bestFit="1" customWidth="1"/>
    <col min="8" max="8" width="27.5546875" bestFit="1" customWidth="1"/>
    <col min="9" max="9" width="16.33203125" customWidth="1"/>
    <col min="10" max="10" width="11.109375" customWidth="1"/>
  </cols>
  <sheetData>
    <row r="1" spans="1:10" ht="15" thickBot="1" x14ac:dyDescent="0.35">
      <c r="A1" s="6" t="s">
        <v>7</v>
      </c>
      <c r="B1" s="7" t="s">
        <v>8</v>
      </c>
      <c r="C1" s="8" t="s">
        <v>9</v>
      </c>
      <c r="D1" s="7" t="s">
        <v>10</v>
      </c>
      <c r="E1" s="9" t="s">
        <v>11</v>
      </c>
      <c r="F1" s="20" t="s">
        <v>12</v>
      </c>
      <c r="G1" s="1" t="s">
        <v>13</v>
      </c>
      <c r="H1" s="1" t="s">
        <v>14</v>
      </c>
    </row>
    <row r="2" spans="1:10" x14ac:dyDescent="0.3">
      <c r="A2" s="13" t="s">
        <v>18</v>
      </c>
      <c r="B2" s="14" t="s">
        <v>19</v>
      </c>
      <c r="C2" s="11">
        <v>770000</v>
      </c>
      <c r="D2" s="10" t="str">
        <f>IF(C2&gt;500000,"Premium mijoz","Oddiy mijoz")</f>
        <v>Premium mijoz</v>
      </c>
      <c r="E2" s="21" t="s">
        <v>0</v>
      </c>
      <c r="F2" s="2" t="str">
        <f>A2&amp; " " &amp;B2</f>
        <v>Dilshod Karimov</v>
      </c>
      <c r="G2" s="2" t="str">
        <f xml:space="preserve"> UPPER(A2)</f>
        <v>DILSHOD</v>
      </c>
      <c r="H2" s="3" t="str">
        <f>LOWER(B2)</f>
        <v>karimov</v>
      </c>
      <c r="I2" t="s">
        <v>36</v>
      </c>
      <c r="J2" s="27">
        <f>C2+C6+C7</f>
        <v>1320000</v>
      </c>
    </row>
    <row r="3" spans="1:10" x14ac:dyDescent="0.3">
      <c r="A3" s="15" t="s">
        <v>20</v>
      </c>
      <c r="B3" s="16" t="s">
        <v>21</v>
      </c>
      <c r="C3" s="11">
        <v>1000000</v>
      </c>
      <c r="D3" s="10" t="str">
        <f t="shared" ref="D3:D8" si="0">IF(C3&gt;500000,"Premium mijoz","Oddiy mijoz")</f>
        <v>Premium mijoz</v>
      </c>
      <c r="E3" s="21" t="s">
        <v>1</v>
      </c>
      <c r="F3" s="2" t="str">
        <f t="shared" ref="F3:F8" si="1">A3&amp; " " &amp;B3</f>
        <v>Nargiza Gulova</v>
      </c>
      <c r="G3" s="2" t="str">
        <f t="shared" ref="G3:G8" si="2" xml:space="preserve"> UPPER(A3)</f>
        <v>NARGIZA</v>
      </c>
      <c r="H3" s="3" t="str">
        <f t="shared" ref="H3:H8" si="3">LOWER(B3)</f>
        <v>gulova</v>
      </c>
      <c r="I3" t="s">
        <v>37</v>
      </c>
      <c r="J3" s="27">
        <f>C3+C4+C5+C8</f>
        <v>2040000</v>
      </c>
    </row>
    <row r="4" spans="1:10" x14ac:dyDescent="0.3">
      <c r="A4" s="15" t="s">
        <v>22</v>
      </c>
      <c r="B4" s="16" t="s">
        <v>23</v>
      </c>
      <c r="C4" s="11">
        <v>400000</v>
      </c>
      <c r="D4" s="10" t="str">
        <f t="shared" si="0"/>
        <v>Oddiy mijoz</v>
      </c>
      <c r="E4" s="21" t="s">
        <v>2</v>
      </c>
      <c r="F4" s="2" t="str">
        <f t="shared" si="1"/>
        <v>Mirabbos Mirzakirov</v>
      </c>
      <c r="G4" s="2" t="str">
        <f t="shared" si="2"/>
        <v>MIRABBOS</v>
      </c>
      <c r="H4" s="3" t="str">
        <f t="shared" si="3"/>
        <v>mirzakirov</v>
      </c>
      <c r="I4" t="str">
        <f>_xlfn.CONCAT(A2, " ",B2)</f>
        <v>Dilshod Karimov</v>
      </c>
    </row>
    <row r="5" spans="1:10" x14ac:dyDescent="0.3">
      <c r="A5" s="15" t="s">
        <v>24</v>
      </c>
      <c r="B5" s="16" t="s">
        <v>25</v>
      </c>
      <c r="C5" s="11">
        <v>560000</v>
      </c>
      <c r="D5" s="10" t="str">
        <f t="shared" si="0"/>
        <v>Premium mijoz</v>
      </c>
      <c r="E5" s="21" t="s">
        <v>3</v>
      </c>
      <c r="F5" s="2" t="str">
        <f t="shared" si="1"/>
        <v>Yusufjon Tolibjonov</v>
      </c>
      <c r="G5" s="2" t="str">
        <f t="shared" si="2"/>
        <v>YUSUFJON</v>
      </c>
      <c r="H5" s="3" t="str">
        <f t="shared" si="3"/>
        <v>tolibjonov</v>
      </c>
    </row>
    <row r="6" spans="1:10" x14ac:dyDescent="0.3">
      <c r="A6" s="15" t="s">
        <v>26</v>
      </c>
      <c r="B6" s="16" t="s">
        <v>27</v>
      </c>
      <c r="C6" s="11">
        <v>400000</v>
      </c>
      <c r="D6" s="10" t="str">
        <f t="shared" si="0"/>
        <v>Oddiy mijoz</v>
      </c>
      <c r="E6" s="21" t="s">
        <v>4</v>
      </c>
      <c r="F6" s="2" t="str">
        <f t="shared" si="1"/>
        <v>Shahzodbek Durdiyev</v>
      </c>
      <c r="G6" s="2" t="str">
        <f t="shared" si="2"/>
        <v>SHAHZODBEK</v>
      </c>
      <c r="H6" s="3" t="str">
        <f t="shared" si="3"/>
        <v>durdiyev</v>
      </c>
    </row>
    <row r="7" spans="1:10" x14ac:dyDescent="0.3">
      <c r="A7" s="15" t="s">
        <v>28</v>
      </c>
      <c r="B7" s="16" t="s">
        <v>29</v>
      </c>
      <c r="C7" s="11">
        <v>150000</v>
      </c>
      <c r="D7" s="10" t="str">
        <f t="shared" si="0"/>
        <v>Oddiy mijoz</v>
      </c>
      <c r="E7" s="21" t="s">
        <v>5</v>
      </c>
      <c r="F7" s="2" t="str">
        <f t="shared" si="1"/>
        <v>Xondamir Murtazoyev</v>
      </c>
      <c r="G7" s="2" t="str">
        <f t="shared" si="2"/>
        <v>XONDAMIR</v>
      </c>
      <c r="H7" s="3" t="str">
        <f t="shared" si="3"/>
        <v>murtazoyev</v>
      </c>
    </row>
    <row r="8" spans="1:10" ht="15" thickBot="1" x14ac:dyDescent="0.35">
      <c r="A8" s="17" t="s">
        <v>30</v>
      </c>
      <c r="B8" s="18" t="s">
        <v>31</v>
      </c>
      <c r="C8" s="12">
        <v>80000</v>
      </c>
      <c r="D8" s="10" t="str">
        <f t="shared" si="0"/>
        <v>Oddiy mijoz</v>
      </c>
      <c r="E8" s="22" t="s">
        <v>6</v>
      </c>
      <c r="F8" s="4" t="str">
        <f t="shared" si="1"/>
        <v>Nematullo Mahmudov</v>
      </c>
      <c r="G8" s="4" t="str">
        <f t="shared" si="2"/>
        <v>NEMATULLO</v>
      </c>
      <c r="H8" s="5" t="str">
        <f t="shared" si="3"/>
        <v>mahmudov</v>
      </c>
    </row>
    <row r="11" spans="1:10" x14ac:dyDescent="0.3">
      <c r="F11" s="28" t="s">
        <v>32</v>
      </c>
      <c r="G11" s="28"/>
      <c r="H11" s="19">
        <f>AVERAGE(C2:C8)</f>
        <v>480000</v>
      </c>
    </row>
    <row r="12" spans="1:10" x14ac:dyDescent="0.3">
      <c r="F12" s="28" t="s">
        <v>33</v>
      </c>
      <c r="G12" s="28"/>
      <c r="H12" s="19">
        <f>MAX(C2:C8)</f>
        <v>1000000</v>
      </c>
    </row>
    <row r="13" spans="1:10" x14ac:dyDescent="0.3">
      <c r="F13" s="28" t="s">
        <v>34</v>
      </c>
      <c r="G13" s="28"/>
      <c r="H13" s="19">
        <f>MIN(C2:C8)</f>
        <v>80000</v>
      </c>
    </row>
    <row r="14" spans="1:10" x14ac:dyDescent="0.3">
      <c r="F14" s="28" t="s">
        <v>35</v>
      </c>
      <c r="G14" s="28"/>
      <c r="H14" s="19">
        <f>SUM(C2:C8)</f>
        <v>3360000</v>
      </c>
    </row>
    <row r="15" spans="1:10" x14ac:dyDescent="0.3">
      <c r="F15" s="24" t="s">
        <v>15</v>
      </c>
      <c r="G15" s="25" t="s">
        <v>16</v>
      </c>
      <c r="H15" s="26" t="s">
        <v>17</v>
      </c>
    </row>
    <row r="16" spans="1:10" x14ac:dyDescent="0.3">
      <c r="F16" s="23">
        <f>LEN(E2)</f>
        <v>5</v>
      </c>
      <c r="G16" s="23" t="str">
        <f>LEFT(E2,2)</f>
        <v>ТХ</v>
      </c>
      <c r="H16" s="23" t="str">
        <f>RIGHT(E2,3)</f>
        <v>001</v>
      </c>
    </row>
    <row r="17" spans="6:8" x14ac:dyDescent="0.3">
      <c r="F17" s="23">
        <f>LEN(E3)</f>
        <v>5</v>
      </c>
      <c r="G17" s="23" t="str">
        <f>LEFT(E3,2)</f>
        <v>ТХ</v>
      </c>
      <c r="H17" s="23" t="str">
        <f>RIGHT(E3,3)</f>
        <v>002</v>
      </c>
    </row>
    <row r="18" spans="6:8" x14ac:dyDescent="0.3">
      <c r="F18" s="23">
        <f>LEN(E4)</f>
        <v>5</v>
      </c>
      <c r="G18" s="23" t="str">
        <f>LEFT(E4,2)</f>
        <v>ТХ</v>
      </c>
      <c r="H18" s="23" t="str">
        <f>RIGHT(E4,3)</f>
        <v>003</v>
      </c>
    </row>
    <row r="19" spans="6:8" x14ac:dyDescent="0.3">
      <c r="F19" s="23">
        <f>LEN(E5)</f>
        <v>5</v>
      </c>
      <c r="G19" s="23" t="str">
        <f>LEFT(E5,2)</f>
        <v>ТХ</v>
      </c>
      <c r="H19" s="23" t="str">
        <f>RIGHT(E5,3)</f>
        <v>004</v>
      </c>
    </row>
    <row r="20" spans="6:8" x14ac:dyDescent="0.3">
      <c r="F20" s="23">
        <f>LEN(E6)</f>
        <v>5</v>
      </c>
      <c r="G20" s="23" t="str">
        <f>LEFT(E6,2)</f>
        <v>ТХ</v>
      </c>
      <c r="H20" s="23" t="str">
        <f>RIGHT(E6,3)</f>
        <v>005</v>
      </c>
    </row>
    <row r="21" spans="6:8" x14ac:dyDescent="0.3">
      <c r="F21" s="23">
        <f>LEN(E7)</f>
        <v>5</v>
      </c>
      <c r="G21" s="23" t="str">
        <f>LEFT(E7,2)</f>
        <v>ТХ</v>
      </c>
      <c r="H21" s="23" t="str">
        <f>RIGHT(E7,3)</f>
        <v>006</v>
      </c>
    </row>
    <row r="22" spans="6:8" x14ac:dyDescent="0.3">
      <c r="F22" s="23">
        <f>LEN(E8)</f>
        <v>5</v>
      </c>
      <c r="G22" s="23" t="str">
        <f>LEFT(E8,2)</f>
        <v>ТХ</v>
      </c>
      <c r="H22" s="23" t="str">
        <f>RIGHT(E8,3)</f>
        <v>007</v>
      </c>
    </row>
  </sheetData>
  <mergeCells count="4">
    <mergeCell ref="F11:G11"/>
    <mergeCell ref="F12:G12"/>
    <mergeCell ref="F13:G13"/>
    <mergeCell ref="F14:G1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User</dc:creator>
  <cp:lastModifiedBy>Yusufjon Tolibjonov</cp:lastModifiedBy>
  <dcterms:created xsi:type="dcterms:W3CDTF">2015-06-05T18:19:34Z</dcterms:created>
  <dcterms:modified xsi:type="dcterms:W3CDTF">2025-11-29T14:50:46Z</dcterms:modified>
</cp:coreProperties>
</file>