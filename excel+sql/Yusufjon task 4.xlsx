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+sql\"/>
    </mc:Choice>
  </mc:AlternateContent>
  <xr:revisionPtr revIDLastSave="0" documentId="13_ncr:1_{ACF6DDD6-5227-491C-B12F-4249487FE457}" xr6:coauthVersionLast="47" xr6:coauthVersionMax="47" xr10:uidLastSave="{00000000-0000-0000-0000-000000000000}"/>
  <bookViews>
    <workbookView xWindow="-108" yWindow="-108" windowWidth="23256" windowHeight="13896" xr2:uid="{2089E736-44BB-468A-92B9-A0EB487457AB}"/>
  </bookViews>
  <sheets>
    <sheet name="Заказы" sheetId="2" r:id="rId1"/>
    <sheet name="Менеджер" sheetId="13" r:id="rId2"/>
    <sheet name="Прайс-лист" sheetId="14" r:id="rId3"/>
    <sheet name="Город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G6" i="2" s="1"/>
  <c r="F7" i="2"/>
  <c r="F8" i="2"/>
  <c r="F9" i="2"/>
  <c r="G9" i="2" s="1"/>
  <c r="F10" i="2"/>
  <c r="G10" i="2" s="1"/>
  <c r="F11" i="2"/>
  <c r="G11" i="2" s="1"/>
  <c r="F12" i="2"/>
  <c r="G12" i="2" s="1"/>
  <c r="F13" i="2"/>
  <c r="G13" i="2" s="1"/>
  <c r="F14" i="2"/>
  <c r="F15" i="2"/>
  <c r="F16" i="2"/>
  <c r="F17" i="2"/>
  <c r="F18" i="2"/>
  <c r="F2" i="2"/>
  <c r="G2" i="2" s="1"/>
  <c r="G3" i="2"/>
  <c r="G4" i="2"/>
  <c r="G17" i="2"/>
  <c r="G18" i="2"/>
  <c r="G7" i="2"/>
  <c r="G8" i="2"/>
  <c r="G14" i="2"/>
  <c r="B3" i="2"/>
  <c r="I3" i="2" s="1"/>
  <c r="B4" i="2"/>
  <c r="I4" i="2" s="1"/>
  <c r="B5" i="2"/>
  <c r="I5" i="2" s="1"/>
  <c r="B6" i="2"/>
  <c r="I6" i="2" s="1"/>
  <c r="B7" i="2"/>
  <c r="I7" i="2" s="1"/>
  <c r="B8" i="2"/>
  <c r="I8" i="2" s="1"/>
  <c r="B9" i="2"/>
  <c r="I9" i="2" s="1"/>
  <c r="B10" i="2"/>
  <c r="H10" i="2" s="1"/>
  <c r="B11" i="2"/>
  <c r="H11" i="2" s="1"/>
  <c r="B12" i="2"/>
  <c r="H12" i="2" s="1"/>
  <c r="B13" i="2"/>
  <c r="H13" i="2" s="1"/>
  <c r="B14" i="2"/>
  <c r="H14" i="2" s="1"/>
  <c r="B15" i="2"/>
  <c r="I15" i="2" s="1"/>
  <c r="B16" i="2"/>
  <c r="I16" i="2" s="1"/>
  <c r="B17" i="2"/>
  <c r="I17" i="2" s="1"/>
  <c r="B18" i="2"/>
  <c r="I18" i="2" s="1"/>
  <c r="B2" i="2"/>
  <c r="I2" i="2" s="1"/>
  <c r="G5" i="2"/>
  <c r="G15" i="2"/>
  <c r="G16" i="2"/>
  <c r="H9" i="2" l="1"/>
  <c r="I14" i="2"/>
  <c r="H8" i="2"/>
  <c r="I13" i="2"/>
  <c r="H2" i="2"/>
  <c r="H7" i="2"/>
  <c r="I12" i="2"/>
  <c r="H18" i="2"/>
  <c r="H6" i="2"/>
  <c r="I11" i="2"/>
  <c r="H17" i="2"/>
  <c r="H5" i="2"/>
  <c r="I10" i="2"/>
  <c r="H16" i="2"/>
  <c r="H4" i="2"/>
  <c r="H15" i="2"/>
  <c r="H3" i="2"/>
</calcChain>
</file>

<file path=xl/sharedStrings.xml><?xml version="1.0" encoding="utf-8"?>
<sst xmlns="http://schemas.openxmlformats.org/spreadsheetml/2006/main" count="123" uniqueCount="53">
  <si>
    <t>Товар</t>
  </si>
  <si>
    <t>Количество</t>
  </si>
  <si>
    <t>Цена</t>
  </si>
  <si>
    <t>Сумма заказа</t>
  </si>
  <si>
    <t>Яблоки</t>
  </si>
  <si>
    <t>Апельсины</t>
  </si>
  <si>
    <t>Груши</t>
  </si>
  <si>
    <t>Виноград</t>
  </si>
  <si>
    <t>Бананы</t>
  </si>
  <si>
    <t>Менеджер</t>
  </si>
  <si>
    <t>Заказчик</t>
  </si>
  <si>
    <t>Город</t>
  </si>
  <si>
    <t>Сергеева</t>
  </si>
  <si>
    <t>Пятерочка</t>
  </si>
  <si>
    <t>Москва</t>
  </si>
  <si>
    <t>Кузнецов</t>
  </si>
  <si>
    <t>Лента</t>
  </si>
  <si>
    <t>Санкт-Петербург</t>
  </si>
  <si>
    <t>Магнит</t>
  </si>
  <si>
    <t>Воронова</t>
  </si>
  <si>
    <t>Волгоград</t>
  </si>
  <si>
    <t>Афанасьев</t>
  </si>
  <si>
    <t>Мурманск</t>
  </si>
  <si>
    <t>Перекресток</t>
  </si>
  <si>
    <t>Ашан</t>
  </si>
  <si>
    <t>№ заказа</t>
  </si>
  <si>
    <t>023958</t>
  </si>
  <si>
    <t>023959</t>
  </si>
  <si>
    <t>023960</t>
  </si>
  <si>
    <t>023961</t>
  </si>
  <si>
    <t>023962</t>
  </si>
  <si>
    <t>023963</t>
  </si>
  <si>
    <t>023964</t>
  </si>
  <si>
    <t>023965</t>
  </si>
  <si>
    <t>023966</t>
  </si>
  <si>
    <t>023967</t>
  </si>
  <si>
    <t>023968</t>
  </si>
  <si>
    <t>023969</t>
  </si>
  <si>
    <t>023970</t>
  </si>
  <si>
    <t>023971</t>
  </si>
  <si>
    <t>023972</t>
  </si>
  <si>
    <t>023973</t>
  </si>
  <si>
    <t>023974</t>
  </si>
  <si>
    <t>Прайс-лист</t>
  </si>
  <si>
    <t>Филиалы</t>
  </si>
  <si>
    <t>Телефон</t>
  </si>
  <si>
    <t>123-45-67</t>
  </si>
  <si>
    <t>890-12-34</t>
  </si>
  <si>
    <t>567-89-01</t>
  </si>
  <si>
    <t>234-56-78</t>
  </si>
  <si>
    <t>Краснодар</t>
  </si>
  <si>
    <t>901-23-45</t>
  </si>
  <si>
    <t>Yusufjon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</si>
</sst>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F46E-E77C-4404-92DA-81C32592B987}">
  <sheetPr codeName="Лист2"/>
  <dimension ref="A1:I18"/>
  <sheetViews>
    <sheetView tabSelected="1" workbookViewId="0">
      <selection activeCell="F2" sqref="F2"/>
    </sheetView>
  </sheetViews>
  <sheetFormatPr defaultColWidth="8.88671875" defaultRowHeight="14.4" x14ac:dyDescent="0.3"/>
  <cols>
    <col min="1" max="1" width="11" customWidth="1"/>
    <col min="2" max="2" width="11.109375" customWidth="1"/>
    <col min="3" max="3" width="12.88671875" bestFit="1" customWidth="1"/>
    <col min="4" max="4" width="11.33203125" bestFit="1" customWidth="1"/>
    <col min="5" max="5" width="11.44140625" bestFit="1" customWidth="1"/>
    <col min="6" max="6" width="8.6640625" customWidth="1"/>
    <col min="7" max="7" width="14.33203125" customWidth="1"/>
    <col min="8" max="8" width="18.6640625" customWidth="1"/>
    <col min="9" max="9" width="14.33203125" customWidth="1"/>
    <col min="10" max="10" width="11.33203125" bestFit="1" customWidth="1"/>
    <col min="11" max="11" width="9.44140625" bestFit="1" customWidth="1"/>
    <col min="12" max="12" width="11.44140625" bestFit="1" customWidth="1"/>
    <col min="13" max="13" width="11.44140625" customWidth="1"/>
    <col min="14" max="14" width="16.44140625" bestFit="1" customWidth="1"/>
    <col min="15" max="15" width="20.33203125" customWidth="1"/>
    <col min="16" max="16" width="16.109375" customWidth="1"/>
  </cols>
  <sheetData>
    <row r="1" spans="1:9" x14ac:dyDescent="0.3">
      <c r="A1" s="6" t="s">
        <v>25</v>
      </c>
      <c r="B1" s="6" t="s">
        <v>9</v>
      </c>
      <c r="C1" s="6" t="s">
        <v>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11</v>
      </c>
      <c r="I1" s="7" t="s">
        <v>45</v>
      </c>
    </row>
    <row r="2" spans="1:9" x14ac:dyDescent="0.3">
      <c r="A2" s="3" t="s">
        <v>26</v>
      </c>
      <c r="B2" s="2" t="str">
        <f>VLOOKUP(A2,Менеджер!$A$2:$B$18,2,0)</f>
        <v>Сергеева</v>
      </c>
      <c r="C2" s="2" t="s">
        <v>13</v>
      </c>
      <c r="D2" s="2" t="s">
        <v>4</v>
      </c>
      <c r="E2" s="2">
        <v>11</v>
      </c>
      <c r="F2" s="2">
        <f>INDEX('Прайс-лист'!$B$3:$B$7,MATCH(Заказы!D2,'Прайс-лист'!$A$3:$A$7,0))</f>
        <v>90</v>
      </c>
      <c r="G2" s="2">
        <f>E2*F2</f>
        <v>990</v>
      </c>
      <c r="H2" s="2" t="str">
        <f>VLOOKUP(Заказы!B2,Город!$A$3:$B$7,2,0)</f>
        <v>Москва</v>
      </c>
      <c r="I2" s="2" t="str">
        <f>VLOOKUP(B2,Город!$A$3:$C$7,3,0)</f>
        <v>123-45-67</v>
      </c>
    </row>
    <row r="3" spans="1:9" x14ac:dyDescent="0.3">
      <c r="A3" s="3" t="s">
        <v>27</v>
      </c>
      <c r="B3" s="2" t="str">
        <f>VLOOKUP(A3,Менеджер!$A$2:$B$18,2,0)</f>
        <v>Кузнецов</v>
      </c>
      <c r="C3" s="2" t="s">
        <v>16</v>
      </c>
      <c r="D3" s="2" t="s">
        <v>7</v>
      </c>
      <c r="E3" s="2">
        <v>15</v>
      </c>
      <c r="F3" s="2">
        <f>INDEX('Прайс-лист'!$B$3:$B$7,MATCH(Заказы!D3,'Прайс-лист'!$A$3:$A$7,0))</f>
        <v>150</v>
      </c>
      <c r="G3" s="2">
        <f t="shared" ref="G3:G18" si="0">E3*F3</f>
        <v>2250</v>
      </c>
      <c r="H3" s="2" t="str">
        <f>VLOOKUP(Заказы!B3,Город!$A$3:$B$7,2,0)</f>
        <v>Санкт-Петербург</v>
      </c>
      <c r="I3" s="2" t="str">
        <f>VLOOKUP(B3,Город!$A$3:$C$7,3,0)</f>
        <v>890-12-34</v>
      </c>
    </row>
    <row r="4" spans="1:9" x14ac:dyDescent="0.3">
      <c r="A4" s="3" t="s">
        <v>28</v>
      </c>
      <c r="B4" s="2" t="str">
        <f>VLOOKUP(A4,Менеджер!$A$2:$B$18,2,0)</f>
        <v>Сергеева</v>
      </c>
      <c r="C4" s="2" t="s">
        <v>18</v>
      </c>
      <c r="D4" s="2" t="s">
        <v>5</v>
      </c>
      <c r="E4" s="2">
        <v>17</v>
      </c>
      <c r="F4" s="2">
        <f>INDEX('Прайс-лист'!$B$3:$B$7,MATCH(Заказы!D4,'Прайс-лист'!$A$3:$A$7,0))</f>
        <v>100</v>
      </c>
      <c r="G4" s="2">
        <f t="shared" si="0"/>
        <v>1700</v>
      </c>
      <c r="H4" s="2" t="str">
        <f>VLOOKUP(Заказы!B4,Город!$A$3:$B$7,2,0)</f>
        <v>Москва</v>
      </c>
      <c r="I4" s="2" t="str">
        <f>VLOOKUP(B4,Город!$A$3:$C$7,3,0)</f>
        <v>123-45-67</v>
      </c>
    </row>
    <row r="5" spans="1:9" x14ac:dyDescent="0.3">
      <c r="A5" s="3" t="s">
        <v>29</v>
      </c>
      <c r="B5" s="2" t="str">
        <f>VLOOKUP(A5,Менеджер!$A$2:$B$18,2,0)</f>
        <v>Воронова</v>
      </c>
      <c r="C5" s="2" t="s">
        <v>13</v>
      </c>
      <c r="D5" s="2" t="s">
        <v>8</v>
      </c>
      <c r="E5" s="2">
        <v>4</v>
      </c>
      <c r="F5" s="2">
        <f>INDEX('Прайс-лист'!$B$3:$B$7,MATCH(Заказы!D5,'Прайс-лист'!$A$3:$A$7,0))</f>
        <v>70</v>
      </c>
      <c r="G5" s="2">
        <f t="shared" si="0"/>
        <v>280</v>
      </c>
      <c r="H5" s="2" t="str">
        <f>VLOOKUP(Заказы!B5,Город!$A$3:$B$7,2,0)</f>
        <v>Волгоград</v>
      </c>
      <c r="I5" s="2" t="str">
        <f>VLOOKUP(B5,Город!$A$3:$C$7,3,0)</f>
        <v>567-89-01</v>
      </c>
    </row>
    <row r="6" spans="1:9" x14ac:dyDescent="0.3">
      <c r="A6" s="3" t="s">
        <v>30</v>
      </c>
      <c r="B6" s="2" t="str">
        <f>VLOOKUP(A6,Менеджер!$A$2:$B$18,2,0)</f>
        <v>Кузнецов</v>
      </c>
      <c r="C6" s="2" t="s">
        <v>16</v>
      </c>
      <c r="D6" s="2" t="s">
        <v>6</v>
      </c>
      <c r="E6" s="2">
        <v>17</v>
      </c>
      <c r="F6" s="2">
        <f>INDEX('Прайс-лист'!$B$3:$B$7,MATCH(Заказы!D6,'Прайс-лист'!$A$3:$A$7,0))</f>
        <v>140</v>
      </c>
      <c r="G6" s="2">
        <f t="shared" si="0"/>
        <v>2380</v>
      </c>
      <c r="H6" s="2" t="str">
        <f>VLOOKUP(Заказы!B6,Город!$A$3:$B$7,2,0)</f>
        <v>Санкт-Петербург</v>
      </c>
      <c r="I6" s="2" t="str">
        <f>VLOOKUP(B6,Город!$A$3:$C$7,3,0)</f>
        <v>890-12-34</v>
      </c>
    </row>
    <row r="7" spans="1:9" x14ac:dyDescent="0.3">
      <c r="A7" s="3" t="s">
        <v>31</v>
      </c>
      <c r="B7" s="2" t="str">
        <f>VLOOKUP(A7,Менеджер!$A$2:$B$18,2,0)</f>
        <v>Воронова</v>
      </c>
      <c r="C7" s="2" t="s">
        <v>23</v>
      </c>
      <c r="D7" s="2" t="s">
        <v>7</v>
      </c>
      <c r="E7" s="2">
        <v>21</v>
      </c>
      <c r="F7" s="2">
        <f>INDEX('Прайс-лист'!$B$3:$B$7,MATCH(Заказы!D7,'Прайс-лист'!$A$3:$A$7,0))</f>
        <v>150</v>
      </c>
      <c r="G7" s="2">
        <f t="shared" si="0"/>
        <v>3150</v>
      </c>
      <c r="H7" s="2" t="str">
        <f>VLOOKUP(Заказы!B7,Город!$A$3:$B$7,2,0)</f>
        <v>Волгоград</v>
      </c>
      <c r="I7" s="2" t="str">
        <f>VLOOKUP(B7,Город!$A$3:$C$7,3,0)</f>
        <v>567-89-01</v>
      </c>
    </row>
    <row r="8" spans="1:9" x14ac:dyDescent="0.3">
      <c r="A8" s="3" t="s">
        <v>32</v>
      </c>
      <c r="B8" s="2" t="str">
        <f>VLOOKUP(A8,Менеджер!$A$2:$B$18,2,0)</f>
        <v>Сергеева</v>
      </c>
      <c r="C8" s="2" t="s">
        <v>13</v>
      </c>
      <c r="D8" s="2" t="s">
        <v>8</v>
      </c>
      <c r="E8" s="2">
        <v>3</v>
      </c>
      <c r="F8" s="2">
        <f>INDEX('Прайс-лист'!$B$3:$B$7,MATCH(Заказы!D8,'Прайс-лист'!$A$3:$A$7,0))</f>
        <v>70</v>
      </c>
      <c r="G8" s="2">
        <f t="shared" si="0"/>
        <v>210</v>
      </c>
      <c r="H8" s="2" t="str">
        <f>VLOOKUP(Заказы!B8,Город!$A$3:$B$7,2,0)</f>
        <v>Москва</v>
      </c>
      <c r="I8" s="2" t="str">
        <f>VLOOKUP(B8,Город!$A$3:$C$7,3,0)</f>
        <v>123-45-67</v>
      </c>
    </row>
    <row r="9" spans="1:9" x14ac:dyDescent="0.3">
      <c r="A9" s="3" t="s">
        <v>33</v>
      </c>
      <c r="B9" s="2" t="str">
        <f>VLOOKUP(A9,Менеджер!$A$2:$B$18,2,0)</f>
        <v>Воронова</v>
      </c>
      <c r="C9" s="2" t="s">
        <v>23</v>
      </c>
      <c r="D9" s="2" t="s">
        <v>7</v>
      </c>
      <c r="E9" s="2">
        <v>10</v>
      </c>
      <c r="F9" s="2">
        <f>INDEX('Прайс-лист'!$B$3:$B$7,MATCH(Заказы!D9,'Прайс-лист'!$A$3:$A$7,0))</f>
        <v>150</v>
      </c>
      <c r="G9" s="2">
        <f t="shared" si="0"/>
        <v>1500</v>
      </c>
      <c r="H9" s="2" t="str">
        <f>VLOOKUP(Заказы!B9,Город!$A$3:$B$7,2,0)</f>
        <v>Волгоград</v>
      </c>
      <c r="I9" s="2" t="str">
        <f>VLOOKUP(B9,Город!$A$3:$C$7,3,0)</f>
        <v>567-89-01</v>
      </c>
    </row>
    <row r="10" spans="1:9" x14ac:dyDescent="0.3">
      <c r="A10" s="3" t="s">
        <v>34</v>
      </c>
      <c r="B10" s="2" t="str">
        <f>VLOOKUP(A10,Менеджер!$A$2:$B$18,2,0)</f>
        <v>Афанасьев</v>
      </c>
      <c r="C10" s="2" t="s">
        <v>13</v>
      </c>
      <c r="D10" s="2" t="s">
        <v>5</v>
      </c>
      <c r="E10" s="2">
        <v>8</v>
      </c>
      <c r="F10" s="2">
        <f>INDEX('Прайс-лист'!$B$3:$B$7,MATCH(Заказы!D10,'Прайс-лист'!$A$3:$A$7,0))</f>
        <v>100</v>
      </c>
      <c r="G10" s="2">
        <f t="shared" si="0"/>
        <v>800</v>
      </c>
      <c r="H10" s="2" t="str">
        <f>VLOOKUP(Заказы!B10,Город!$A$3:$B$7,2,0)</f>
        <v>Мурманск</v>
      </c>
      <c r="I10" s="2" t="str">
        <f>VLOOKUP(B10,Город!$A$3:$C$7,3,0)</f>
        <v>234-56-78</v>
      </c>
    </row>
    <row r="11" spans="1:9" x14ac:dyDescent="0.3">
      <c r="A11" s="3" t="s">
        <v>35</v>
      </c>
      <c r="B11" s="2" t="str">
        <f>VLOOKUP(A11,Менеджер!$A$2:$B$18,2,0)</f>
        <v>Кузнецов</v>
      </c>
      <c r="C11" s="2" t="s">
        <v>13</v>
      </c>
      <c r="D11" s="2" t="s">
        <v>7</v>
      </c>
      <c r="E11" s="2">
        <v>16</v>
      </c>
      <c r="F11" s="2">
        <f>INDEX('Прайс-лист'!$B$3:$B$7,MATCH(Заказы!D11,'Прайс-лист'!$A$3:$A$7,0))</f>
        <v>150</v>
      </c>
      <c r="G11" s="2">
        <f t="shared" si="0"/>
        <v>2400</v>
      </c>
      <c r="H11" s="2" t="str">
        <f>VLOOKUP(Заказы!B11,Город!$A$3:$B$7,2,0)</f>
        <v>Санкт-Петербург</v>
      </c>
      <c r="I11" s="2" t="str">
        <f>VLOOKUP(B11,Город!$A$3:$C$7,3,0)</f>
        <v>890-12-34</v>
      </c>
    </row>
    <row r="12" spans="1:9" x14ac:dyDescent="0.3">
      <c r="A12" s="3" t="s">
        <v>36</v>
      </c>
      <c r="B12" s="2" t="str">
        <f>VLOOKUP(A12,Менеджер!$A$2:$B$18,2,0)</f>
        <v>Кузнецов</v>
      </c>
      <c r="C12" s="2" t="s">
        <v>18</v>
      </c>
      <c r="D12" s="2" t="s">
        <v>8</v>
      </c>
      <c r="E12" s="2">
        <v>3</v>
      </c>
      <c r="F12" s="2">
        <f>INDEX('Прайс-лист'!$B$3:$B$7,MATCH(Заказы!D12,'Прайс-лист'!$A$3:$A$7,0))</f>
        <v>70</v>
      </c>
      <c r="G12" s="2">
        <f t="shared" si="0"/>
        <v>210</v>
      </c>
      <c r="H12" s="2" t="str">
        <f>VLOOKUP(Заказы!B12,Город!$A$3:$B$7,2,0)</f>
        <v>Санкт-Петербург</v>
      </c>
      <c r="I12" s="2" t="str">
        <f>VLOOKUP(B12,Город!$A$3:$C$7,3,0)</f>
        <v>890-12-34</v>
      </c>
    </row>
    <row r="13" spans="1:9" x14ac:dyDescent="0.3">
      <c r="A13" s="3" t="s">
        <v>37</v>
      </c>
      <c r="B13" s="2" t="str">
        <f>VLOOKUP(A13,Менеджер!$A$2:$B$18,2,0)</f>
        <v>Сергеева</v>
      </c>
      <c r="C13" s="2" t="s">
        <v>13</v>
      </c>
      <c r="D13" s="2" t="s">
        <v>5</v>
      </c>
      <c r="E13" s="2">
        <v>12</v>
      </c>
      <c r="F13" s="2">
        <f>INDEX('Прайс-лист'!$B$3:$B$7,MATCH(Заказы!D13,'Прайс-лист'!$A$3:$A$7,0))</f>
        <v>100</v>
      </c>
      <c r="G13" s="2">
        <f t="shared" si="0"/>
        <v>1200</v>
      </c>
      <c r="H13" s="2" t="str">
        <f>VLOOKUP(Заказы!B13,Город!$A$3:$B$7,2,0)</f>
        <v>Москва</v>
      </c>
      <c r="I13" s="2" t="str">
        <f>VLOOKUP(B13,Город!$A$3:$C$7,3,0)</f>
        <v>123-45-67</v>
      </c>
    </row>
    <row r="14" spans="1:9" x14ac:dyDescent="0.3">
      <c r="A14" s="3" t="s">
        <v>38</v>
      </c>
      <c r="B14" s="2" t="str">
        <f>VLOOKUP(A14,Менеджер!$A$2:$B$18,2,0)</f>
        <v>Воронова</v>
      </c>
      <c r="C14" s="2" t="s">
        <v>16</v>
      </c>
      <c r="D14" s="2" t="s">
        <v>4</v>
      </c>
      <c r="E14" s="2">
        <v>18</v>
      </c>
      <c r="F14" s="2">
        <f>INDEX('Прайс-лист'!$B$3:$B$7,MATCH(Заказы!D14,'Прайс-лист'!$A$3:$A$7,0))</f>
        <v>90</v>
      </c>
      <c r="G14" s="2">
        <f t="shared" si="0"/>
        <v>1620</v>
      </c>
      <c r="H14" s="2" t="str">
        <f>VLOOKUP(Заказы!B14,Город!$A$3:$B$7,2,0)</f>
        <v>Волгоград</v>
      </c>
      <c r="I14" s="2" t="str">
        <f>VLOOKUP(B14,Город!$A$3:$C$7,3,0)</f>
        <v>567-89-01</v>
      </c>
    </row>
    <row r="15" spans="1:9" x14ac:dyDescent="0.3">
      <c r="A15" s="3" t="s">
        <v>39</v>
      </c>
      <c r="B15" s="2" t="str">
        <f>VLOOKUP(A15,Менеджер!$A$2:$B$18,2,0)</f>
        <v>Афанасьев</v>
      </c>
      <c r="C15" s="2" t="s">
        <v>24</v>
      </c>
      <c r="D15" s="2" t="s">
        <v>6</v>
      </c>
      <c r="E15" s="2">
        <v>20</v>
      </c>
      <c r="F15" s="2">
        <f>INDEX('Прайс-лист'!$B$3:$B$7,MATCH(Заказы!D15,'Прайс-лист'!$A$3:$A$7,0))</f>
        <v>140</v>
      </c>
      <c r="G15" s="2">
        <f t="shared" si="0"/>
        <v>2800</v>
      </c>
      <c r="H15" s="2" t="str">
        <f>VLOOKUP(Заказы!B15,Город!$A$3:$B$7,2,0)</f>
        <v>Мурманск</v>
      </c>
      <c r="I15" s="2" t="str">
        <f>VLOOKUP(B15,Город!$A$3:$C$7,3,0)</f>
        <v>234-56-78</v>
      </c>
    </row>
    <row r="16" spans="1:9" x14ac:dyDescent="0.3">
      <c r="A16" s="3" t="s">
        <v>40</v>
      </c>
      <c r="B16" s="2" t="str">
        <f>VLOOKUP(A16,Менеджер!$A$2:$B$18,2,0)</f>
        <v>Сергеева</v>
      </c>
      <c r="C16" s="2" t="s">
        <v>24</v>
      </c>
      <c r="D16" s="2" t="s">
        <v>6</v>
      </c>
      <c r="E16" s="2">
        <v>11</v>
      </c>
      <c r="F16" s="2">
        <f>INDEX('Прайс-лист'!$B$3:$B$7,MATCH(Заказы!D16,'Прайс-лист'!$A$3:$A$7,0))</f>
        <v>140</v>
      </c>
      <c r="G16" s="2">
        <f t="shared" si="0"/>
        <v>1540</v>
      </c>
      <c r="H16" s="2" t="str">
        <f>VLOOKUP(Заказы!B16,Город!$A$3:$B$7,2,0)</f>
        <v>Москва</v>
      </c>
      <c r="I16" s="2" t="str">
        <f>VLOOKUP(B16,Город!$A$3:$C$7,3,0)</f>
        <v>123-45-67</v>
      </c>
    </row>
    <row r="17" spans="1:9" x14ac:dyDescent="0.3">
      <c r="A17" s="3" t="s">
        <v>41</v>
      </c>
      <c r="B17" s="2" t="str">
        <f>VLOOKUP(A17,Менеджер!$A$2:$B$18,2,0)</f>
        <v>Кузнецов</v>
      </c>
      <c r="C17" s="2" t="s">
        <v>23</v>
      </c>
      <c r="D17" s="2" t="s">
        <v>7</v>
      </c>
      <c r="E17" s="2">
        <v>10</v>
      </c>
      <c r="F17" s="2">
        <f>INDEX('Прайс-лист'!$B$3:$B$7,MATCH(Заказы!D17,'Прайс-лист'!$A$3:$A$7,0))</f>
        <v>150</v>
      </c>
      <c r="G17" s="2">
        <f t="shared" si="0"/>
        <v>1500</v>
      </c>
      <c r="H17" s="2" t="str">
        <f>VLOOKUP(Заказы!B17,Город!$A$3:$B$7,2,0)</f>
        <v>Санкт-Петербург</v>
      </c>
      <c r="I17" s="2" t="str">
        <f>VLOOKUP(B17,Город!$A$3:$C$7,3,0)</f>
        <v>890-12-34</v>
      </c>
    </row>
    <row r="18" spans="1:9" x14ac:dyDescent="0.3">
      <c r="A18" s="3" t="s">
        <v>42</v>
      </c>
      <c r="B18" s="2" t="str">
        <f>VLOOKUP(A18,Менеджер!$A$2:$B$18,2,0)</f>
        <v>Сергеева</v>
      </c>
      <c r="C18" s="2" t="s">
        <v>13</v>
      </c>
      <c r="D18" s="2" t="s">
        <v>5</v>
      </c>
      <c r="E18" s="2">
        <v>25</v>
      </c>
      <c r="F18" s="2">
        <f>INDEX('Прайс-лист'!$B$3:$B$7,MATCH(Заказы!D18,'Прайс-лист'!$A$3:$A$7,0))</f>
        <v>100</v>
      </c>
      <c r="G18" s="2">
        <f t="shared" si="0"/>
        <v>2500</v>
      </c>
      <c r="H18" s="2" t="str">
        <f>VLOOKUP(Заказы!B18,Город!$A$3:$B$7,2,0)</f>
        <v>Москва</v>
      </c>
      <c r="I18" s="2" t="str">
        <f>VLOOKUP(B18,Город!$A$3:$C$7,3,0)</f>
        <v>123-45-67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7A4E-B4B6-42D3-82C9-55F367291597}">
  <sheetPr codeName="Лист4"/>
  <dimension ref="A1:B18"/>
  <sheetViews>
    <sheetView workbookViewId="0">
      <selection activeCell="D1" sqref="D1"/>
    </sheetView>
  </sheetViews>
  <sheetFormatPr defaultColWidth="8.88671875" defaultRowHeight="14.4" x14ac:dyDescent="0.3"/>
  <cols>
    <col min="1" max="1" width="11" customWidth="1"/>
    <col min="2" max="2" width="10.88671875" customWidth="1"/>
    <col min="3" max="3" width="11.44140625" customWidth="1"/>
    <col min="4" max="4" width="16.44140625" bestFit="1" customWidth="1"/>
  </cols>
  <sheetData>
    <row r="1" spans="1:2" x14ac:dyDescent="0.3">
      <c r="A1" s="1" t="s">
        <v>25</v>
      </c>
      <c r="B1" s="1" t="s">
        <v>9</v>
      </c>
    </row>
    <row r="2" spans="1:2" x14ac:dyDescent="0.3">
      <c r="A2" s="3" t="s">
        <v>26</v>
      </c>
      <c r="B2" s="2" t="s">
        <v>12</v>
      </c>
    </row>
    <row r="3" spans="1:2" x14ac:dyDescent="0.3">
      <c r="A3" s="3" t="s">
        <v>27</v>
      </c>
      <c r="B3" s="2" t="s">
        <v>15</v>
      </c>
    </row>
    <row r="4" spans="1:2" x14ac:dyDescent="0.3">
      <c r="A4" s="3" t="s">
        <v>28</v>
      </c>
      <c r="B4" s="2" t="s">
        <v>12</v>
      </c>
    </row>
    <row r="5" spans="1:2" x14ac:dyDescent="0.3">
      <c r="A5" s="3" t="s">
        <v>29</v>
      </c>
      <c r="B5" s="2" t="s">
        <v>19</v>
      </c>
    </row>
    <row r="6" spans="1:2" x14ac:dyDescent="0.3">
      <c r="A6" s="3" t="s">
        <v>30</v>
      </c>
      <c r="B6" s="2" t="s">
        <v>15</v>
      </c>
    </row>
    <row r="7" spans="1:2" x14ac:dyDescent="0.3">
      <c r="A7" s="3" t="s">
        <v>31</v>
      </c>
      <c r="B7" s="2" t="s">
        <v>19</v>
      </c>
    </row>
    <row r="8" spans="1:2" x14ac:dyDescent="0.3">
      <c r="A8" s="3" t="s">
        <v>32</v>
      </c>
      <c r="B8" s="2" t="s">
        <v>12</v>
      </c>
    </row>
    <row r="9" spans="1:2" x14ac:dyDescent="0.3">
      <c r="A9" s="3" t="s">
        <v>33</v>
      </c>
      <c r="B9" s="2" t="s">
        <v>19</v>
      </c>
    </row>
    <row r="10" spans="1:2" x14ac:dyDescent="0.3">
      <c r="A10" s="3" t="s">
        <v>34</v>
      </c>
      <c r="B10" s="2" t="s">
        <v>21</v>
      </c>
    </row>
    <row r="11" spans="1:2" x14ac:dyDescent="0.3">
      <c r="A11" s="3" t="s">
        <v>35</v>
      </c>
      <c r="B11" s="2" t="s">
        <v>15</v>
      </c>
    </row>
    <row r="12" spans="1:2" x14ac:dyDescent="0.3">
      <c r="A12" s="3" t="s">
        <v>36</v>
      </c>
      <c r="B12" s="2" t="s">
        <v>15</v>
      </c>
    </row>
    <row r="13" spans="1:2" x14ac:dyDescent="0.3">
      <c r="A13" s="3" t="s">
        <v>37</v>
      </c>
      <c r="B13" s="2" t="s">
        <v>12</v>
      </c>
    </row>
    <row r="14" spans="1:2" x14ac:dyDescent="0.3">
      <c r="A14" s="3" t="s">
        <v>38</v>
      </c>
      <c r="B14" s="2" t="s">
        <v>19</v>
      </c>
    </row>
    <row r="15" spans="1:2" x14ac:dyDescent="0.3">
      <c r="A15" s="3" t="s">
        <v>39</v>
      </c>
      <c r="B15" s="2" t="s">
        <v>21</v>
      </c>
    </row>
    <row r="16" spans="1:2" x14ac:dyDescent="0.3">
      <c r="A16" s="3" t="s">
        <v>40</v>
      </c>
      <c r="B16" s="2" t="s">
        <v>12</v>
      </c>
    </row>
    <row r="17" spans="1:2" x14ac:dyDescent="0.3">
      <c r="A17" s="3" t="s">
        <v>41</v>
      </c>
      <c r="B17" s="2" t="s">
        <v>15</v>
      </c>
    </row>
    <row r="18" spans="1:2" x14ac:dyDescent="0.3">
      <c r="A18" s="3" t="s">
        <v>42</v>
      </c>
      <c r="B18" s="2" t="s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98C3-92FA-4BC5-ADEA-91C01B9959FC}">
  <dimension ref="A1:B7"/>
  <sheetViews>
    <sheetView workbookViewId="0">
      <selection activeCell="B16" sqref="B16"/>
    </sheetView>
  </sheetViews>
  <sheetFormatPr defaultRowHeight="14.4" x14ac:dyDescent="0.3"/>
  <cols>
    <col min="1" max="1" width="23" customWidth="1"/>
    <col min="2" max="2" width="23.5546875" customWidth="1"/>
  </cols>
  <sheetData>
    <row r="1" spans="1:2" ht="21" x14ac:dyDescent="0.4">
      <c r="A1" s="8" t="s">
        <v>43</v>
      </c>
      <c r="B1" s="8"/>
    </row>
    <row r="2" spans="1:2" x14ac:dyDescent="0.3">
      <c r="A2" s="1" t="s">
        <v>0</v>
      </c>
      <c r="B2" s="1" t="s">
        <v>2</v>
      </c>
    </row>
    <row r="3" spans="1:2" x14ac:dyDescent="0.3">
      <c r="A3" s="2" t="s">
        <v>5</v>
      </c>
      <c r="B3" s="4">
        <v>100</v>
      </c>
    </row>
    <row r="4" spans="1:2" x14ac:dyDescent="0.3">
      <c r="A4" s="2" t="s">
        <v>7</v>
      </c>
      <c r="B4" s="4">
        <v>150</v>
      </c>
    </row>
    <row r="5" spans="1:2" x14ac:dyDescent="0.3">
      <c r="A5" s="2" t="s">
        <v>4</v>
      </c>
      <c r="B5" s="4">
        <v>90</v>
      </c>
    </row>
    <row r="6" spans="1:2" x14ac:dyDescent="0.3">
      <c r="A6" s="2" t="s">
        <v>8</v>
      </c>
      <c r="B6" s="4">
        <v>70</v>
      </c>
    </row>
    <row r="7" spans="1:2" x14ac:dyDescent="0.3">
      <c r="A7" s="2" t="s">
        <v>6</v>
      </c>
      <c r="B7" s="4">
        <v>140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4449-DBA7-49BD-B41C-6A31F97C4CE8}">
  <dimension ref="A1:C7"/>
  <sheetViews>
    <sheetView workbookViewId="0">
      <selection activeCell="B32" sqref="B32"/>
    </sheetView>
  </sheetViews>
  <sheetFormatPr defaultRowHeight="14.4" x14ac:dyDescent="0.3"/>
  <cols>
    <col min="1" max="1" width="11.109375" customWidth="1"/>
    <col min="2" max="2" width="24.88671875" customWidth="1"/>
    <col min="3" max="3" width="20" customWidth="1"/>
  </cols>
  <sheetData>
    <row r="1" spans="1:3" ht="21" x14ac:dyDescent="0.4">
      <c r="A1" s="9" t="s">
        <v>44</v>
      </c>
      <c r="B1" s="9"/>
      <c r="C1" s="9"/>
    </row>
    <row r="2" spans="1:3" x14ac:dyDescent="0.3">
      <c r="A2" s="1" t="s">
        <v>9</v>
      </c>
      <c r="B2" s="1" t="s">
        <v>11</v>
      </c>
      <c r="C2" s="1" t="s">
        <v>45</v>
      </c>
    </row>
    <row r="3" spans="1:3" x14ac:dyDescent="0.3">
      <c r="A3" s="2" t="s">
        <v>12</v>
      </c>
      <c r="B3" s="2" t="s">
        <v>14</v>
      </c>
      <c r="C3" s="5" t="s">
        <v>46</v>
      </c>
    </row>
    <row r="4" spans="1:3" x14ac:dyDescent="0.3">
      <c r="A4" s="2" t="s">
        <v>15</v>
      </c>
      <c r="B4" s="2" t="s">
        <v>17</v>
      </c>
      <c r="C4" s="5" t="s">
        <v>47</v>
      </c>
    </row>
    <row r="5" spans="1:3" x14ac:dyDescent="0.3">
      <c r="A5" s="2" t="s">
        <v>19</v>
      </c>
      <c r="B5" s="2" t="s">
        <v>20</v>
      </c>
      <c r="C5" s="5" t="s">
        <v>48</v>
      </c>
    </row>
    <row r="6" spans="1:3" x14ac:dyDescent="0.3">
      <c r="A6" s="2" t="s">
        <v>21</v>
      </c>
      <c r="B6" s="2" t="s">
        <v>22</v>
      </c>
      <c r="C6" s="5" t="s">
        <v>49</v>
      </c>
    </row>
    <row r="7" spans="1:3" x14ac:dyDescent="0.3">
      <c r="A7" s="2" t="s">
        <v>52</v>
      </c>
      <c r="B7" s="2" t="s">
        <v>50</v>
      </c>
      <c r="C7" s="5" t="s">
        <v>51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Заказы</vt:lpstr>
      <vt:lpstr>Менеджер</vt:lpstr>
      <vt:lpstr>Прайс-лист</vt:lpstr>
      <vt:lpstr>Город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</dc:creator>
  <cp:keywords/>
  <dc:description/>
  <cp:lastModifiedBy>Yusufjon Tolibjonov</cp:lastModifiedBy>
  <cp:revision/>
  <dcterms:created xsi:type="dcterms:W3CDTF">2021-03-31T18:35:50Z</dcterms:created>
  <dcterms:modified xsi:type="dcterms:W3CDTF">2025-12-03T07:03:36Z</dcterms:modified>
  <cp:category/>
  <cp:contentStatus/>
</cp:coreProperties>
</file>